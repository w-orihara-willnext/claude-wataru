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キーワード分析" sheetId="2" state="visible" r:id="rId2"/>
    <sheet xmlns:r="http://schemas.openxmlformats.org/officeDocument/2006/relationships" name="給与帯分析" sheetId="3" state="visible" r:id="rId3"/>
    <sheet xmlns:r="http://schemas.openxmlformats.org/officeDocument/2006/relationships" name="前回比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color rgb="00FFFFFF"/>
      <sz val="10"/>
    </font>
    <font>
      <name val="Yu Gothic"/>
      <b val="1"/>
      <color rgb="00666666"/>
      <sz val="9"/>
    </font>
    <font>
      <name val="Yu Gothic"/>
      <b val="1"/>
      <color rgb="001F4E79"/>
      <sz val="13"/>
    </font>
    <font>
      <name val="Yu Gothic"/>
      <b val="1"/>
      <color rgb="00FFFFFF"/>
      <sz val="12"/>
    </font>
    <font>
      <name val="Yu Gothic"/>
      <b val="1"/>
      <color rgb="001F4E79"/>
      <sz val="11"/>
    </font>
    <font>
      <name val="Yu Gothic"/>
      <color rgb="00000000"/>
      <sz val="10"/>
    </font>
    <font>
      <name val="Yu Gothic"/>
      <b val="1"/>
      <sz val="10"/>
    </font>
    <font>
      <name val="Yu Gothic"/>
      <b val="1"/>
      <color rgb="00FFFFFF"/>
      <sz val="14"/>
    </font>
    <font>
      <name val="Yu Gothic"/>
      <color rgb="00666666"/>
      <sz val="9"/>
    </font>
    <font>
      <name val="Yu Gothic"/>
      <b val="1"/>
      <color rgb="001F4E79"/>
      <sz val="10"/>
    </font>
    <font>
      <name val="Yu Gothic"/>
      <i val="1"/>
      <sz val="10"/>
    </font>
    <font>
      <name val="Yu Gothic"/>
      <sz val="10"/>
    </font>
    <font>
      <name val="Yu Gothic"/>
      <b val="1"/>
      <color rgb="00FF0000"/>
      <sz val="10"/>
    </font>
    <font>
      <name val="Yu Gothic"/>
      <b val="1"/>
      <color rgb="0070AD47"/>
      <sz val="10"/>
    </font>
    <font>
      <name val="Yu Gothic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7E7"/>
      </patternFill>
    </fill>
    <fill>
      <patternFill patternType="solid">
        <fgColor rgb="00EEE2F5"/>
      </patternFill>
    </fill>
  </fills>
  <borders count="3">
    <border>
      <left/>
      <right/>
      <top/>
      <bottom/>
      <diagonal/>
    </border>
    <border>
      <bottom style="medium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2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/>
    </xf>
    <xf numFmtId="164" fontId="11" fillId="5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164" fontId="11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center" vertical="center"/>
    </xf>
    <xf numFmtId="164" fontId="13" fillId="11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14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/>
    </xf>
    <xf numFmtId="0" fontId="1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キーワード出現件数（上位15）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'キーワード分析'!D4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'キーワード分析'!$C$5:$C$19</f>
            </numRef>
          </cat>
          <val>
            <numRef>
              <f>'キーワード分析'!$D$5:$D$19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キーワード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出現件数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給与帯別 求人件数分布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'給与帯分析'!C4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9D18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cat>
            <numRef>
              <f>'給与帯分析'!$B$5:$B$9</f>
            </numRef>
          </cat>
          <val>
            <numRef>
              <f>'給与帯分析'!$C$5:$C$9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給与帯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求人件数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給与帯 構成比</a:t>
            </a:r>
          </a:p>
        </rich>
      </tx>
    </title>
    <plotArea>
      <pieChart>
        <varyColors val="1"/>
        <ser>
          <idx val="0"/>
          <order val="0"/>
          <tx>
            <strRef>
              <f>'給与帯分析'!C4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'給与帯分析'!$B$5:$B$9</f>
            </numRef>
          </cat>
          <val>
            <numRef>
              <f>'給与帯分析'!$C$5:$C$9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13</row>
      <rowOff>0</rowOff>
    </from>
    <ext cx="54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1" ht="40" customHeight="1">
      <c r="B1" s="1" t="inlineStr">
        <is>
          <t>doda 人事職 求人市場分析レポート　2026-04-07</t>
        </is>
      </c>
    </row>
    <row r="2" ht="22" customHeight="1">
      <c r="B2" s="2" t="inlineStr">
        <is>
          <t>首都圏（東京・神奈川・埼玉・千葉）　職種: 人事</t>
        </is>
      </c>
    </row>
    <row r="3" ht="10" customHeight="1"/>
    <row r="4" ht="14" customHeight="1"/>
    <row r="5" ht="30" customHeight="1">
      <c r="B5" s="3" t="inlineStr">
        <is>
          <t>総求人数</t>
        </is>
      </c>
      <c r="C5" s="3" t="inlineStr">
        <is>
          <t>給与情報あり</t>
        </is>
      </c>
      <c r="D5" s="3" t="inlineStr">
        <is>
          <t>平均年収(中間値)</t>
        </is>
      </c>
      <c r="E5" s="3" t="inlineStr">
        <is>
          <t>中央値(下限)</t>
        </is>
      </c>
    </row>
    <row r="6" ht="18" customHeight="1">
      <c r="B6" s="4" t="inlineStr">
        <is>
          <t>3,789 件</t>
        </is>
      </c>
      <c r="C6" s="4" t="inlineStr">
        <is>
          <t>3,299 件 (87.1%)</t>
        </is>
      </c>
      <c r="D6" s="4" t="inlineStr">
        <is>
          <t>581 万円</t>
        </is>
      </c>
      <c r="E6" s="4" t="inlineStr">
        <is>
          <t>491 万円</t>
        </is>
      </c>
    </row>
    <row r="7" ht="10" customHeight="1"/>
    <row r="8">
      <c r="B8" s="5" t="n"/>
      <c r="C8" s="5" t="n"/>
      <c r="D8" s="5" t="n"/>
      <c r="E8" s="5" t="n"/>
      <c r="F8" s="5" t="n"/>
    </row>
    <row r="9" ht="10" customHeight="1"/>
    <row r="10" ht="24" customHeight="1">
      <c r="B10" s="6" t="inlineStr">
        <is>
          <t>■ 給与帯別 求人分布</t>
        </is>
      </c>
    </row>
    <row r="11" ht="20" customHeight="1">
      <c r="B11" s="7" t="inlineStr">
        <is>
          <t>給与帯</t>
        </is>
      </c>
      <c r="C11" s="7" t="inlineStr">
        <is>
          <t>件数</t>
        </is>
      </c>
      <c r="D11" s="7" t="inlineStr">
        <is>
          <t>構成比</t>
        </is>
      </c>
      <c r="E11" s="7" t="inlineStr">
        <is>
          <t>平均下限(万円)</t>
        </is>
      </c>
      <c r="F11" s="7" t="inlineStr">
        <is>
          <t>平均上限(万円)</t>
        </is>
      </c>
    </row>
    <row r="12" ht="20" customHeight="1">
      <c r="B12" s="8" t="inlineStr">
        <is>
          <t>〜299万</t>
        </is>
      </c>
      <c r="C12" s="9" t="n">
        <v>27</v>
      </c>
      <c r="D12" s="9" t="inlineStr">
        <is>
          <t>0.8%</t>
        </is>
      </c>
      <c r="E12" s="9" t="n">
        <v>272</v>
      </c>
      <c r="F12" s="9" t="n">
        <v>355</v>
      </c>
    </row>
    <row r="13" ht="20" customHeight="1">
      <c r="B13" s="10" t="inlineStr">
        <is>
          <t>300〜399万</t>
        </is>
      </c>
      <c r="C13" s="11" t="n">
        <v>504</v>
      </c>
      <c r="D13" s="11" t="inlineStr">
        <is>
          <t>15.3%</t>
        </is>
      </c>
      <c r="E13" s="11" t="n">
        <v>350</v>
      </c>
      <c r="F13" s="11" t="n">
        <v>502</v>
      </c>
    </row>
    <row r="14" ht="20" customHeight="1">
      <c r="B14" s="8" t="inlineStr">
        <is>
          <t>400〜499万</t>
        </is>
      </c>
      <c r="C14" s="9" t="n">
        <v>1123</v>
      </c>
      <c r="D14" s="9" t="inlineStr">
        <is>
          <t>34.0%</t>
        </is>
      </c>
      <c r="E14" s="9" t="n">
        <v>428</v>
      </c>
      <c r="F14" s="9" t="n">
        <v>600</v>
      </c>
    </row>
    <row r="15" ht="20" customHeight="1">
      <c r="B15" s="10" t="inlineStr">
        <is>
          <t>500〜599万</t>
        </is>
      </c>
      <c r="C15" s="11" t="n">
        <v>786</v>
      </c>
      <c r="D15" s="11" t="inlineStr">
        <is>
          <t>23.8%</t>
        </is>
      </c>
      <c r="E15" s="11" t="n">
        <v>518</v>
      </c>
      <c r="F15" s="11" t="n">
        <v>717</v>
      </c>
    </row>
    <row r="16" ht="20" customHeight="1">
      <c r="B16" s="8" t="inlineStr">
        <is>
          <t>600万〜</t>
        </is>
      </c>
      <c r="C16" s="9" t="n">
        <v>859</v>
      </c>
      <c r="D16" s="9" t="inlineStr">
        <is>
          <t>26.0%</t>
        </is>
      </c>
      <c r="E16" s="9" t="n">
        <v>684</v>
      </c>
      <c r="F16" s="9" t="n">
        <v>785</v>
      </c>
    </row>
    <row r="17" ht="20" customHeight="1">
      <c r="B17" s="12" t="inlineStr">
        <is>
          <t>合計</t>
        </is>
      </c>
      <c r="C17" s="12" t="n">
        <v>3299</v>
      </c>
      <c r="D17" s="12" t="inlineStr">
        <is>
          <t>100%</t>
        </is>
      </c>
      <c r="E17" s="13" t="inlineStr"/>
      <c r="F17" s="13" t="inlineStr"/>
    </row>
    <row r="18" ht="10" customHeight="1"/>
    <row r="19" ht="24" customHeight="1">
      <c r="B19" s="6" t="inlineStr">
        <is>
          <t>■ キーワード出現ランキング（上位10）</t>
        </is>
      </c>
    </row>
    <row r="20" ht="20" customHeight="1">
      <c r="B20" s="7" t="inlineStr">
        <is>
          <t>順位</t>
        </is>
      </c>
      <c r="C20" s="7" t="inlineStr">
        <is>
          <t>キーワード</t>
        </is>
      </c>
      <c r="D20" s="7" t="inlineStr">
        <is>
          <t>出現件数</t>
        </is>
      </c>
      <c r="E20" s="7" t="inlineStr">
        <is>
          <t>出現率</t>
        </is>
      </c>
      <c r="F20" s="7" t="inlineStr"/>
    </row>
    <row r="21" ht="20" customHeight="1">
      <c r="B21" s="9" t="n">
        <v>1</v>
      </c>
      <c r="C21" s="8" t="inlineStr">
        <is>
          <t>採用</t>
        </is>
      </c>
      <c r="D21" s="9" t="n">
        <v>1774</v>
      </c>
      <c r="E21" s="9" t="inlineStr">
        <is>
          <t>46.8%</t>
        </is>
      </c>
      <c r="F21" s="9" t="inlineStr"/>
    </row>
    <row r="22" ht="20" customHeight="1">
      <c r="B22" s="11" t="n">
        <v>2</v>
      </c>
      <c r="C22" s="10" t="inlineStr">
        <is>
          <t>労務</t>
        </is>
      </c>
      <c r="D22" s="11" t="n">
        <v>999</v>
      </c>
      <c r="E22" s="11" t="inlineStr">
        <is>
          <t>26.4%</t>
        </is>
      </c>
      <c r="F22" s="11" t="inlineStr"/>
    </row>
    <row r="23" ht="20" customHeight="1">
      <c r="B23" s="9" t="n">
        <v>3</v>
      </c>
      <c r="C23" s="8" t="inlineStr">
        <is>
          <t>管理</t>
        </is>
      </c>
      <c r="D23" s="9" t="n">
        <v>750</v>
      </c>
      <c r="E23" s="9" t="inlineStr">
        <is>
          <t>19.8%</t>
        </is>
      </c>
      <c r="F23" s="9" t="inlineStr"/>
    </row>
    <row r="24" ht="20" customHeight="1">
      <c r="B24" s="11" t="n">
        <v>4</v>
      </c>
      <c r="C24" s="10" t="inlineStr">
        <is>
          <t>組織</t>
        </is>
      </c>
      <c r="D24" s="11" t="n">
        <v>530</v>
      </c>
      <c r="E24" s="11" t="inlineStr">
        <is>
          <t>14.0%</t>
        </is>
      </c>
      <c r="F24" s="11" t="inlineStr"/>
    </row>
    <row r="25" ht="20" customHeight="1">
      <c r="B25" s="9" t="n">
        <v>5</v>
      </c>
      <c r="C25" s="8" t="inlineStr">
        <is>
          <t>設計</t>
        </is>
      </c>
      <c r="D25" s="9" t="n">
        <v>395</v>
      </c>
      <c r="E25" s="9" t="inlineStr">
        <is>
          <t>10.4%</t>
        </is>
      </c>
      <c r="F25" s="9" t="inlineStr"/>
    </row>
    <row r="26" ht="20" customHeight="1">
      <c r="B26" s="11" t="n">
        <v>6</v>
      </c>
      <c r="C26" s="10" t="inlineStr">
        <is>
          <t>研修</t>
        </is>
      </c>
      <c r="D26" s="11" t="n">
        <v>392</v>
      </c>
      <c r="E26" s="11" t="inlineStr">
        <is>
          <t>10.3%</t>
        </is>
      </c>
      <c r="F26" s="11" t="inlineStr"/>
    </row>
    <row r="27" ht="20" customHeight="1">
      <c r="B27" s="9" t="n">
        <v>7</v>
      </c>
      <c r="C27" s="8" t="inlineStr">
        <is>
          <t>福利厚生</t>
        </is>
      </c>
      <c r="D27" s="9" t="n">
        <v>334</v>
      </c>
      <c r="E27" s="9" t="inlineStr">
        <is>
          <t>8.8%</t>
        </is>
      </c>
      <c r="F27" s="9" t="inlineStr"/>
    </row>
    <row r="28" ht="20" customHeight="1">
      <c r="B28" s="11" t="n">
        <v>8</v>
      </c>
      <c r="C28" s="10" t="inlineStr">
        <is>
          <t>運用</t>
        </is>
      </c>
      <c r="D28" s="11" t="n">
        <v>296</v>
      </c>
      <c r="E28" s="11" t="inlineStr">
        <is>
          <t>7.8%</t>
        </is>
      </c>
      <c r="F28" s="11" t="inlineStr"/>
    </row>
    <row r="29" ht="20" customHeight="1">
      <c r="B29" s="9" t="n">
        <v>9</v>
      </c>
      <c r="C29" s="8" t="inlineStr">
        <is>
          <t>人事制度</t>
        </is>
      </c>
      <c r="D29" s="9" t="n">
        <v>250</v>
      </c>
      <c r="E29" s="9" t="inlineStr">
        <is>
          <t>6.6%</t>
        </is>
      </c>
      <c r="F29" s="9" t="inlineStr"/>
    </row>
    <row r="30" ht="20" customHeight="1">
      <c r="B30" s="11" t="n">
        <v>10</v>
      </c>
      <c r="C30" s="10" t="inlineStr">
        <is>
          <t>給与計算</t>
        </is>
      </c>
      <c r="D30" s="11" t="n">
        <v>250</v>
      </c>
      <c r="E30" s="11" t="inlineStr">
        <is>
          <t>6.6%</t>
        </is>
      </c>
      <c r="F30" s="11" t="inlineStr"/>
    </row>
  </sheetData>
  <mergeCells count="5">
    <mergeCell ref="B17"/>
    <mergeCell ref="B2:F2"/>
    <mergeCell ref="B10:F10"/>
    <mergeCell ref="B19:F19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16" customWidth="1" min="4" max="4"/>
    <col width="16" customWidth="1" min="5" max="5"/>
    <col width="2" customWidth="1" min="6" max="6"/>
  </cols>
  <sheetData>
    <row r="1" ht="36" customHeight="1">
      <c r="B1" s="14" t="inlineStr">
        <is>
          <t>キーワード出現頻度分析</t>
        </is>
      </c>
    </row>
    <row r="2" ht="18" customHeight="1">
      <c r="B2" s="15" t="inlineStr">
        <is>
          <t>分析対象: 3,789件　収集日: 2026-04-07</t>
        </is>
      </c>
    </row>
    <row r="4" ht="22" customHeight="1">
      <c r="B4" s="7" t="inlineStr">
        <is>
          <t>順位</t>
        </is>
      </c>
      <c r="C4" s="7" t="inlineStr">
        <is>
          <t>キーワード</t>
        </is>
      </c>
      <c r="D4" s="7" t="inlineStr">
        <is>
          <t>出現件数</t>
        </is>
      </c>
      <c r="E4" s="7" t="inlineStr">
        <is>
          <t>出現率(%)</t>
        </is>
      </c>
    </row>
    <row r="5" ht="20" customHeight="1">
      <c r="B5" s="16" t="n">
        <v>1</v>
      </c>
      <c r="C5" s="17" t="inlineStr">
        <is>
          <t>採用</t>
        </is>
      </c>
      <c r="D5" s="16" t="n">
        <v>1774</v>
      </c>
      <c r="E5" s="18" t="n">
        <v>46.8</v>
      </c>
    </row>
    <row r="6" ht="20" customHeight="1">
      <c r="B6" s="19" t="n">
        <v>2</v>
      </c>
      <c r="C6" s="20" t="inlineStr">
        <is>
          <t>労務</t>
        </is>
      </c>
      <c r="D6" s="19" t="n">
        <v>999</v>
      </c>
      <c r="E6" s="21" t="n">
        <v>26.4</v>
      </c>
    </row>
    <row r="7" ht="20" customHeight="1">
      <c r="B7" s="16" t="n">
        <v>3</v>
      </c>
      <c r="C7" s="17" t="inlineStr">
        <is>
          <t>管理</t>
        </is>
      </c>
      <c r="D7" s="16" t="n">
        <v>750</v>
      </c>
      <c r="E7" s="18" t="n">
        <v>19.8</v>
      </c>
    </row>
    <row r="8" ht="20" customHeight="1">
      <c r="B8" s="19" t="n">
        <v>4</v>
      </c>
      <c r="C8" s="20" t="inlineStr">
        <is>
          <t>組織</t>
        </is>
      </c>
      <c r="D8" s="19" t="n">
        <v>530</v>
      </c>
      <c r="E8" s="21" t="n">
        <v>14</v>
      </c>
    </row>
    <row r="9" ht="20" customHeight="1">
      <c r="B9" s="16" t="n">
        <v>5</v>
      </c>
      <c r="C9" s="17" t="inlineStr">
        <is>
          <t>設計</t>
        </is>
      </c>
      <c r="D9" s="16" t="n">
        <v>395</v>
      </c>
      <c r="E9" s="18" t="n">
        <v>10.4</v>
      </c>
    </row>
    <row r="10" ht="20" customHeight="1">
      <c r="B10" s="11" t="n">
        <v>6</v>
      </c>
      <c r="C10" s="10" t="inlineStr">
        <is>
          <t>研修</t>
        </is>
      </c>
      <c r="D10" s="11" t="n">
        <v>392</v>
      </c>
      <c r="E10" s="22" t="n">
        <v>10.3</v>
      </c>
    </row>
    <row r="11" ht="20" customHeight="1">
      <c r="B11" s="9" t="n">
        <v>7</v>
      </c>
      <c r="C11" s="8" t="inlineStr">
        <is>
          <t>福利厚生</t>
        </is>
      </c>
      <c r="D11" s="9" t="n">
        <v>334</v>
      </c>
      <c r="E11" s="23" t="n">
        <v>8.800000000000001</v>
      </c>
    </row>
    <row r="12" ht="20" customHeight="1">
      <c r="B12" s="11" t="n">
        <v>8</v>
      </c>
      <c r="C12" s="10" t="inlineStr">
        <is>
          <t>運用</t>
        </is>
      </c>
      <c r="D12" s="11" t="n">
        <v>296</v>
      </c>
      <c r="E12" s="22" t="n">
        <v>7.8</v>
      </c>
    </row>
    <row r="13" ht="20" customHeight="1">
      <c r="B13" s="9" t="n">
        <v>9</v>
      </c>
      <c r="C13" s="8" t="inlineStr">
        <is>
          <t>人事制度</t>
        </is>
      </c>
      <c r="D13" s="9" t="n">
        <v>250</v>
      </c>
      <c r="E13" s="23" t="n">
        <v>6.6</v>
      </c>
    </row>
    <row r="14" ht="20" customHeight="1">
      <c r="B14" s="11" t="n">
        <v>10</v>
      </c>
      <c r="C14" s="10" t="inlineStr">
        <is>
          <t>給与計算</t>
        </is>
      </c>
      <c r="D14" s="11" t="n">
        <v>250</v>
      </c>
      <c r="E14" s="22" t="n">
        <v>6.6</v>
      </c>
    </row>
    <row r="15" ht="20" customHeight="1">
      <c r="B15" s="9" t="n">
        <v>11</v>
      </c>
      <c r="C15" s="8" t="inlineStr">
        <is>
          <t>入社</t>
        </is>
      </c>
      <c r="D15" s="9" t="n">
        <v>181</v>
      </c>
      <c r="E15" s="23" t="n">
        <v>4.8</v>
      </c>
    </row>
    <row r="16" ht="20" customHeight="1">
      <c r="B16" s="11" t="n">
        <v>12</v>
      </c>
      <c r="C16" s="10" t="inlineStr">
        <is>
          <t>採用戦略</t>
        </is>
      </c>
      <c r="D16" s="11" t="n">
        <v>172</v>
      </c>
      <c r="E16" s="22" t="n">
        <v>4.5</v>
      </c>
    </row>
    <row r="17" ht="20" customHeight="1">
      <c r="B17" s="9" t="n">
        <v>13</v>
      </c>
      <c r="C17" s="8" t="inlineStr">
        <is>
          <t>評価</t>
        </is>
      </c>
      <c r="D17" s="9" t="n">
        <v>158</v>
      </c>
      <c r="E17" s="23" t="n">
        <v>4.2</v>
      </c>
    </row>
    <row r="18" ht="20" customHeight="1">
      <c r="B18" s="11" t="n">
        <v>14</v>
      </c>
      <c r="C18" s="10" t="inlineStr">
        <is>
          <t>制度設計</t>
        </is>
      </c>
      <c r="D18" s="11" t="n">
        <v>128</v>
      </c>
      <c r="E18" s="22" t="n">
        <v>3.4</v>
      </c>
    </row>
    <row r="19" ht="20" customHeight="1">
      <c r="B19" s="9" t="n">
        <v>15</v>
      </c>
      <c r="C19" s="8" t="inlineStr">
        <is>
          <t>組織開発</t>
        </is>
      </c>
      <c r="D19" s="9" t="n">
        <v>101</v>
      </c>
      <c r="E19" s="23" t="n">
        <v>2.7</v>
      </c>
    </row>
    <row r="20" ht="20" customHeight="1">
      <c r="B20" s="11" t="n">
        <v>16</v>
      </c>
      <c r="C20" s="10" t="inlineStr">
        <is>
          <t>HRBP</t>
        </is>
      </c>
      <c r="D20" s="11" t="n">
        <v>87</v>
      </c>
      <c r="E20" s="22" t="n">
        <v>2.3</v>
      </c>
    </row>
    <row r="21" ht="20" customHeight="1">
      <c r="B21" s="9" t="n">
        <v>17</v>
      </c>
      <c r="C21" s="8" t="inlineStr">
        <is>
          <t>面接</t>
        </is>
      </c>
      <c r="D21" s="9" t="n">
        <v>76</v>
      </c>
      <c r="E21" s="23" t="n">
        <v>2</v>
      </c>
    </row>
    <row r="22" ht="20" customHeight="1">
      <c r="B22" s="11" t="n">
        <v>18</v>
      </c>
      <c r="C22" s="10" t="inlineStr">
        <is>
          <t>タレントマネジメント</t>
        </is>
      </c>
      <c r="D22" s="11" t="n">
        <v>24</v>
      </c>
      <c r="E22" s="22" t="n">
        <v>0.6</v>
      </c>
    </row>
    <row r="23" ht="20" customHeight="1">
      <c r="B23" s="9" t="n">
        <v>19</v>
      </c>
      <c r="C23" s="8" t="inlineStr">
        <is>
          <t>オンボーディング</t>
        </is>
      </c>
      <c r="D23" s="9" t="n">
        <v>22</v>
      </c>
      <c r="E23" s="23" t="n">
        <v>0.6</v>
      </c>
    </row>
    <row r="24" ht="20" customHeight="1">
      <c r="B24" s="11" t="n">
        <v>20</v>
      </c>
      <c r="C24" s="10" t="inlineStr">
        <is>
          <t>エンゲージメント</t>
        </is>
      </c>
      <c r="D24" s="11" t="n">
        <v>20</v>
      </c>
      <c r="E24" s="22" t="n">
        <v>0.5</v>
      </c>
    </row>
    <row r="25" ht="20" customHeight="1">
      <c r="B25" s="9" t="n">
        <v>21</v>
      </c>
      <c r="C25" s="8" t="inlineStr">
        <is>
          <t>スカウト</t>
        </is>
      </c>
      <c r="D25" s="9" t="n">
        <v>8</v>
      </c>
      <c r="E25" s="23" t="n">
        <v>0.2</v>
      </c>
    </row>
    <row r="26" ht="20" customHeight="1">
      <c r="B26" s="11" t="n">
        <v>22</v>
      </c>
      <c r="C26" s="10" t="inlineStr">
        <is>
          <t>ダイバーシティ</t>
        </is>
      </c>
      <c r="D26" s="11" t="n">
        <v>2</v>
      </c>
      <c r="E26" s="22" t="n">
        <v>0.1</v>
      </c>
    </row>
    <row r="27" ht="20" customHeight="1">
      <c r="B27" s="9" t="n">
        <v>23</v>
      </c>
      <c r="C27" s="8" t="inlineStr">
        <is>
          <t>SmartHR</t>
        </is>
      </c>
      <c r="D27" s="9" t="n">
        <v>2</v>
      </c>
      <c r="E27" s="23" t="n">
        <v>0.1</v>
      </c>
    </row>
    <row r="28" ht="20" customHeight="1">
      <c r="B28" s="11" t="n">
        <v>24</v>
      </c>
      <c r="C28" s="10" t="inlineStr">
        <is>
          <t>媒体選定</t>
        </is>
      </c>
      <c r="D28" s="11" t="n">
        <v>1</v>
      </c>
      <c r="E28" s="22" t="n">
        <v>0</v>
      </c>
    </row>
  </sheetData>
  <mergeCells count="2">
    <mergeCell ref="B1:E1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2" customWidth="1" min="8" max="8"/>
  </cols>
  <sheetData>
    <row r="1" ht="36" customHeight="1">
      <c r="B1" s="14" t="inlineStr">
        <is>
          <t>給与帯別 求人分析</t>
        </is>
      </c>
    </row>
    <row r="2" ht="22" customHeight="1">
      <c r="B2" s="24" t="inlineStr">
        <is>
          <t>給与情報取得件数: 3,299件 / 3,789件 (取得率: 87.1%)</t>
        </is>
      </c>
    </row>
    <row r="4" ht="22" customHeight="1">
      <c r="B4" s="7" t="inlineStr">
        <is>
          <t>給与帯</t>
        </is>
      </c>
      <c r="C4" s="7" t="inlineStr">
        <is>
          <t>件数</t>
        </is>
      </c>
      <c r="D4" s="7" t="inlineStr">
        <is>
          <t>構成比(%)</t>
        </is>
      </c>
      <c r="E4" s="7" t="inlineStr">
        <is>
          <t>平均下限(万)</t>
        </is>
      </c>
      <c r="F4" s="7" t="inlineStr">
        <is>
          <t>平均上限(万)</t>
        </is>
      </c>
      <c r="G4" s="7" t="inlineStr">
        <is>
          <t>平均中間(万)</t>
        </is>
      </c>
    </row>
    <row r="5" ht="22" customHeight="1">
      <c r="B5" s="25" t="inlineStr">
        <is>
          <t>〜299万</t>
        </is>
      </c>
      <c r="C5" s="26" t="n">
        <v>27</v>
      </c>
      <c r="D5" s="27" t="n">
        <v>0.8</v>
      </c>
      <c r="E5" s="26" t="n">
        <v>272</v>
      </c>
      <c r="F5" s="26" t="n">
        <v>355</v>
      </c>
      <c r="G5" s="26" t="n">
        <v>314</v>
      </c>
    </row>
    <row r="6" ht="22" customHeight="1">
      <c r="B6" s="28" t="inlineStr">
        <is>
          <t>300〜399万</t>
        </is>
      </c>
      <c r="C6" s="29" t="n">
        <v>504</v>
      </c>
      <c r="D6" s="30" t="n">
        <v>15.3</v>
      </c>
      <c r="E6" s="29" t="n">
        <v>350</v>
      </c>
      <c r="F6" s="29" t="n">
        <v>502</v>
      </c>
      <c r="G6" s="29" t="n">
        <v>426</v>
      </c>
    </row>
    <row r="7" ht="22" customHeight="1">
      <c r="B7" s="31" t="inlineStr">
        <is>
          <t>400〜499万</t>
        </is>
      </c>
      <c r="C7" s="32" t="n">
        <v>1123</v>
      </c>
      <c r="D7" s="33" t="n">
        <v>34</v>
      </c>
      <c r="E7" s="32" t="n">
        <v>428</v>
      </c>
      <c r="F7" s="32" t="n">
        <v>600</v>
      </c>
      <c r="G7" s="32" t="n">
        <v>514</v>
      </c>
    </row>
    <row r="8" ht="22" customHeight="1">
      <c r="B8" s="34" t="inlineStr">
        <is>
          <t>500〜599万</t>
        </is>
      </c>
      <c r="C8" s="35" t="n">
        <v>786</v>
      </c>
      <c r="D8" s="36" t="n">
        <v>23.8</v>
      </c>
      <c r="E8" s="35" t="n">
        <v>518</v>
      </c>
      <c r="F8" s="35" t="n">
        <v>717</v>
      </c>
      <c r="G8" s="35" t="n">
        <v>618</v>
      </c>
    </row>
    <row r="9" ht="22" customHeight="1">
      <c r="B9" s="37" t="inlineStr">
        <is>
          <t>600万〜</t>
        </is>
      </c>
      <c r="C9" s="38" t="n">
        <v>859</v>
      </c>
      <c r="D9" s="39" t="n">
        <v>26</v>
      </c>
      <c r="E9" s="38" t="n">
        <v>684</v>
      </c>
      <c r="F9" s="38" t="n">
        <v>785</v>
      </c>
      <c r="G9" s="38" t="n">
        <v>734</v>
      </c>
    </row>
    <row r="10" ht="22" customHeight="1">
      <c r="B10" s="12" t="inlineStr">
        <is>
          <t>合計</t>
        </is>
      </c>
      <c r="C10" s="12" t="n">
        <v>3299</v>
      </c>
      <c r="D10" s="40" t="n">
        <v>100</v>
      </c>
      <c r="E10" s="12" t="n">
        <v>503</v>
      </c>
      <c r="F10" s="12" t="n">
        <v>659</v>
      </c>
      <c r="G10" s="12" t="n">
        <v>581</v>
      </c>
    </row>
    <row r="11" ht="22" customHeight="1">
      <c r="B11" s="41" t="inlineStr">
        <is>
          <t>全体統計</t>
        </is>
      </c>
      <c r="C11" s="41" t="n"/>
      <c r="D11" s="41" t="n"/>
      <c r="E11" s="41" t="n">
        <v>503</v>
      </c>
      <c r="F11" s="41" t="n">
        <v>659</v>
      </c>
      <c r="G11" s="41" t="n">
        <v>581</v>
      </c>
    </row>
  </sheetData>
  <mergeCells count="2">
    <mergeCell ref="B2:G2"/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36" customHeight="1">
      <c r="B1" s="14" t="inlineStr">
        <is>
          <t>前回比較 (2026-03-23 vs 2026-04-07)</t>
        </is>
      </c>
    </row>
    <row r="3" ht="22" customHeight="1">
      <c r="B3" s="7" t="inlineStr">
        <is>
          <t>指標</t>
        </is>
      </c>
      <c r="C3" s="7" t="inlineStr">
        <is>
          <t>前回 (03-23)</t>
        </is>
      </c>
      <c r="D3" s="7" t="inlineStr">
        <is>
          <t>今回 (04-07)</t>
        </is>
      </c>
      <c r="E3" s="7" t="inlineStr">
        <is>
          <t>増減</t>
        </is>
      </c>
    </row>
    <row r="4" ht="22" customHeight="1">
      <c r="B4" s="8" t="inlineStr">
        <is>
          <t>総求人数 (件)</t>
        </is>
      </c>
      <c r="C4" s="9" t="n">
        <v>3909</v>
      </c>
      <c r="D4" s="9" t="n">
        <v>3789</v>
      </c>
      <c r="E4" s="42" t="inlineStr">
        <is>
          <t>-120</t>
        </is>
      </c>
    </row>
    <row r="5" ht="22" customHeight="1">
      <c r="B5" s="10" t="inlineStr">
        <is>
          <t>給与情報あり (件)</t>
        </is>
      </c>
      <c r="C5" s="11" t="n">
        <v>3402</v>
      </c>
      <c r="D5" s="11" t="n">
        <v>3299</v>
      </c>
      <c r="E5" s="43" t="inlineStr">
        <is>
          <t>-103</t>
        </is>
      </c>
    </row>
    <row r="6" ht="22" customHeight="1">
      <c r="B6" s="8" t="inlineStr">
        <is>
          <t>平均年収下限 (万円)</t>
        </is>
      </c>
      <c r="C6" s="9" t="n">
        <v>498</v>
      </c>
      <c r="D6" s="9" t="n">
        <v>503</v>
      </c>
      <c r="E6" s="44" t="inlineStr">
        <is>
          <t>+5</t>
        </is>
      </c>
    </row>
    <row r="7" ht="22" customHeight="1">
      <c r="B7" s="10" t="inlineStr">
        <is>
          <t>平均年収上限 (万円)</t>
        </is>
      </c>
      <c r="C7" s="11" t="n">
        <v>652</v>
      </c>
      <c r="D7" s="11" t="n">
        <v>659</v>
      </c>
      <c r="E7" s="45" t="inlineStr">
        <is>
          <t>+7</t>
        </is>
      </c>
    </row>
    <row r="8" ht="22" customHeight="1">
      <c r="B8" s="8" t="inlineStr">
        <is>
          <t>平均年収中間 (万円)</t>
        </is>
      </c>
      <c r="C8" s="9" t="n">
        <v>575</v>
      </c>
      <c r="D8" s="9" t="n">
        <v>581</v>
      </c>
      <c r="E8" s="44" t="inlineStr">
        <is>
          <t>+6</t>
        </is>
      </c>
    </row>
    <row r="9" ht="22" customHeight="1">
      <c r="B9" s="10" t="inlineStr">
        <is>
          <t>中央値(下限) (万円)</t>
        </is>
      </c>
      <c r="C9" s="11" t="n">
        <v>487</v>
      </c>
      <c r="D9" s="11" t="n">
        <v>491</v>
      </c>
      <c r="E9" s="45" t="inlineStr">
        <is>
          <t>+4</t>
        </is>
      </c>
    </row>
    <row r="11" ht="14" customHeight="1"/>
    <row r="12" ht="24" customHeight="1">
      <c r="B12" s="46" t="inlineStr">
        <is>
          <t>■ 給与帯別 件数比較</t>
        </is>
      </c>
    </row>
    <row r="13" ht="20" customHeight="1">
      <c r="B13" s="7" t="inlineStr">
        <is>
          <t>給与帯</t>
        </is>
      </c>
      <c r="C13" s="7" t="inlineStr">
        <is>
          <t>前回件数</t>
        </is>
      </c>
      <c r="D13" s="7" t="inlineStr">
        <is>
          <t>今回件数</t>
        </is>
      </c>
      <c r="E13" s="7" t="inlineStr">
        <is>
          <t>増減</t>
        </is>
      </c>
    </row>
    <row r="14" ht="20" customHeight="1">
      <c r="B14" s="8" t="inlineStr">
        <is>
          <t>〜299万</t>
        </is>
      </c>
      <c r="C14" s="9" t="n">
        <v>31</v>
      </c>
      <c r="D14" s="9" t="n">
        <v>27</v>
      </c>
      <c r="E14" s="47" t="inlineStr">
        <is>
          <t>-4</t>
        </is>
      </c>
    </row>
    <row r="15" ht="20" customHeight="1">
      <c r="B15" s="10" t="inlineStr">
        <is>
          <t>300〜399万</t>
        </is>
      </c>
      <c r="C15" s="11" t="n">
        <v>528</v>
      </c>
      <c r="D15" s="11" t="n">
        <v>504</v>
      </c>
      <c r="E15" s="47" t="inlineStr">
        <is>
          <t>-24</t>
        </is>
      </c>
    </row>
    <row r="16" ht="20" customHeight="1">
      <c r="B16" s="8" t="inlineStr">
        <is>
          <t>400〜499万</t>
        </is>
      </c>
      <c r="C16" s="9" t="n">
        <v>1156</v>
      </c>
      <c r="D16" s="9" t="n">
        <v>1123</v>
      </c>
      <c r="E16" s="47" t="inlineStr">
        <is>
          <t>-33</t>
        </is>
      </c>
    </row>
    <row r="17" ht="20" customHeight="1">
      <c r="B17" s="10" t="inlineStr">
        <is>
          <t>500〜599万</t>
        </is>
      </c>
      <c r="C17" s="11" t="n">
        <v>802</v>
      </c>
      <c r="D17" s="11" t="n">
        <v>786</v>
      </c>
      <c r="E17" s="47" t="inlineStr">
        <is>
          <t>-16</t>
        </is>
      </c>
    </row>
    <row r="18" ht="20" customHeight="1">
      <c r="B18" s="8" t="inlineStr">
        <is>
          <t>600万〜</t>
        </is>
      </c>
      <c r="C18" s="9" t="n">
        <v>885</v>
      </c>
      <c r="D18" s="9" t="n">
        <v>859</v>
      </c>
      <c r="E18" s="47" t="inlineStr">
        <is>
          <t>-26</t>
        </is>
      </c>
    </row>
  </sheetData>
  <mergeCells count="2">
    <mergeCell ref="B12:E12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2026-04-07T05:49:38Z</dcterms:created>
  <dcterms:modified xmlns:dcterms="http://purl.org/dc/terms/" xmlns:xsi="http://www.w3.org/2001/XMLSchema-instance" xsi:type="dcterms:W3CDTF">2026-04-07T05:49:38Z</dcterms:modified>
</cp:coreProperties>
</file>